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Game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color rgb="00E7A91D"/>
      <sz val="18"/>
    </font>
    <font>
      <i val="1"/>
      <color rgb="006B7280"/>
      <sz val="10"/>
    </font>
    <font>
      <b val="1"/>
      <color rgb="00FFFFFF"/>
    </font>
    <font>
      <color rgb="000563C1"/>
      <u val="single"/>
    </font>
    <font>
      <b val="1"/>
    </font>
    <font>
      <b val="1"/>
      <color rgb="00E7A91D"/>
    </font>
    <font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1F2430"/>
      </patternFill>
    </fill>
    <fill>
      <patternFill patternType="solid">
        <fgColor rgb="001E6E7E"/>
      </patternFill>
    </fill>
    <fill>
      <patternFill patternType="solid">
        <fgColor rgb="00F2F4F8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horizontal="right"/>
    </xf>
    <xf numFmtId="164" fontId="6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dafruit.com/product/2264" TargetMode="External" Id="rId1"/><Relationship Type="http://schemas.openxmlformats.org/officeDocument/2006/relationships/hyperlink" Target="https://www.amazon.com/PN2222A-Small-Signal-Transistor-Piece/dp/B07GPPLQYF" TargetMode="External" Id="rId2"/><Relationship Type="http://schemas.openxmlformats.org/officeDocument/2006/relationships/hyperlink" Target="https://www.amazon.com/STMicroelectronics-TIP120-Transistor-Darlington-3-Pin/dp/B07F5C1FF1" TargetMode="External" Id="rId3"/><Relationship Type="http://schemas.openxmlformats.org/officeDocument/2006/relationships/hyperlink" Target="https://www.amazon.com/100-PCS-1N4004-IN4004-diode/dp/B0CN69DV38" TargetMode="External" Id="rId4"/><Relationship Type="http://schemas.openxmlformats.org/officeDocument/2006/relationships/hyperlink" Target="https://www.sparkfun.com/resistor-kit-1-4w-500-total.html" TargetMode="External" Id="rId5"/><Relationship Type="http://schemas.openxmlformats.org/officeDocument/2006/relationships/hyperlink" Target="https://www.sparkfun.com/resistor-kit-1-4w-500-total.html" TargetMode="External" Id="rId6"/><Relationship Type="http://schemas.openxmlformats.org/officeDocument/2006/relationships/hyperlink" Target="https://www.amazon.com/s?k=100nF+0805+capacitor" TargetMode="External" Id="rId7"/><Relationship Type="http://schemas.openxmlformats.org/officeDocument/2006/relationships/hyperlink" Target="https://www.digikey.com/en/products/detail/littelfuse-inc/0218002-MXP/777600" TargetMode="External" Id="rId8"/><Relationship Type="http://schemas.openxmlformats.org/officeDocument/2006/relationships/hyperlink" Target="https://www.digikey.com/en/products?keywords=GDC-3.5A" TargetMode="External" Id="rId9"/><Relationship Type="http://schemas.openxmlformats.org/officeDocument/2006/relationships/hyperlink" Target="https://www.digikey.com/en/products?keywords=GDC-5A" TargetMode="External" Id="rId10"/><Relationship Type="http://schemas.openxmlformats.org/officeDocument/2006/relationships/hyperlink" Target="https://www.digikey.com/en/products/detail/keystone-electronics/3517/316010" TargetMode="External" Id="rId11"/><Relationship Type="http://schemas.openxmlformats.org/officeDocument/2006/relationships/hyperlink" Target="https://www.amazon.com/uxcell-Inline-Screw-Holder-Gauge/dp/B07SM5KYZ7" TargetMode="External" Id="rId12"/><Relationship Type="http://schemas.openxmlformats.org/officeDocument/2006/relationships/hyperlink" Target="https://www.amazon.com/s?k=wago+221+lever+nuts" TargetMode="External" Id="rId13"/><Relationship Type="http://schemas.openxmlformats.org/officeDocument/2006/relationships/hyperlink" Target="https://www.amazon.com/s?k=2x20+pin+header+2.54mm" TargetMode="External" Id="rId14"/><Relationship Type="http://schemas.openxmlformats.org/officeDocument/2006/relationships/hyperlink" Target="https://www.amazon.com/s?k=2.54mm+pin+header+kit" TargetMode="External" Id="rId15"/><Relationship Type="http://schemas.openxmlformats.org/officeDocument/2006/relationships/hyperlink" Target="https://www.diyretroarcade.com/products/coin-switch-with-straight-long-wire-for-arcade-coin-mech" TargetMode="External" Id="rId16"/><Relationship Type="http://schemas.openxmlformats.org/officeDocument/2006/relationships/hyperlink" Target="https://www.amazon.com/16-4FT-WS2812B-Individual-Addressable-5050SMD/dp/B0CFTPT81S" TargetMode="External" Id="rId17"/><Relationship Type="http://schemas.openxmlformats.org/officeDocument/2006/relationships/hyperlink" Target="https://www.amazon.com/Pinball-Bulbs-Arcade-Machine-Nonpolarity/dp/B0B1HXP8P1" TargetMode="External" Id="rId18"/><Relationship Type="http://schemas.openxmlformats.org/officeDocument/2006/relationships/hyperlink" Target="https://www.amazon.com/Pieces-Extension-Socket-Holder-Rubber/dp/B00VDOPPDE" TargetMode="External" Id="rId19"/><Relationship Type="http://schemas.openxmlformats.org/officeDocument/2006/relationships/hyperlink" Target="https://www.sparkfun.com/solenoid-5v-small.html" TargetMode="External" Id="rId20"/><Relationship Type="http://schemas.openxmlformats.org/officeDocument/2006/relationships/hyperlink" Target="https://www.amazon.com/PELADN-Mini-PC-Computer-Triple-Display/dp/B0F7R7V9VK" TargetMode="External" Id="rId21"/><Relationship Type="http://schemas.openxmlformats.org/officeDocument/2006/relationships/hyperlink" Target="https://www.amazon.com/QQU-Portable-Touchscreen-Extenderfor-Compatible/dp/B0FHHM1Y7Z" TargetMode="External" Id="rId22"/><Relationship Type="http://schemas.openxmlformats.org/officeDocument/2006/relationships/hyperlink" Target="https://www.monoprice.com/product?p_id=6631" TargetMode="External" Id="rId23"/><Relationship Type="http://schemas.openxmlformats.org/officeDocument/2006/relationships/hyperlink" Target="https://www.amazon.com/3-3V-Adapter-Power-5-5-2-1/dp/B07BGW2VXV" TargetMode="External" Id="rId24"/><Relationship Type="http://schemas.openxmlformats.org/officeDocument/2006/relationships/hyperlink" Target="https://www.amazon.com/dp/B0G4KXT4BL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6" customWidth="1" min="4" max="4"/>
    <col width="9" customWidth="1" min="5" max="5"/>
    <col width="20" customWidth="1" min="6" max="6"/>
    <col width="11" customWidth="1" min="7" max="7"/>
    <col width="11" customWidth="1" min="8" max="8"/>
    <col width="7" customWidth="1" min="9" max="9"/>
    <col width="40" customWidth="1" min="10" max="10"/>
  </cols>
  <sheetData>
    <row r="1" ht="30" customHeight="1">
      <c r="A1" s="1" t="inlineStr">
        <is>
          <t>SkillGame — Sourced Bill of Materials</t>
        </is>
      </c>
    </row>
    <row r="2">
      <c r="A2" s="2" t="inlineStr">
        <is>
          <t>Board parts from the KiCad project + the mini-PC / monitor / power. Prices representative (Sept 2026); vary by vendor &amp; qty. 'Line est' = what you'll actually spend on that row.</t>
        </is>
      </c>
    </row>
    <row r="4">
      <c r="A4" s="3" t="inlineStr">
        <is>
          <t>Category</t>
        </is>
      </c>
      <c r="B4" s="3" t="inlineStr">
        <is>
          <t>Ref / Where</t>
        </is>
      </c>
      <c r="C4" s="3" t="inlineStr">
        <is>
          <t>Part</t>
        </is>
      </c>
      <c r="D4" s="3" t="inlineStr">
        <is>
          <t>Qty</t>
        </is>
      </c>
      <c r="E4" s="3" t="inlineStr">
        <is>
          <t>Buy as</t>
        </is>
      </c>
      <c r="F4" s="3" t="inlineStr">
        <is>
          <t>Vendor</t>
        </is>
      </c>
      <c r="G4" s="3" t="inlineStr">
        <is>
          <t>Unit/Pack $</t>
        </is>
      </c>
      <c r="H4" s="3" t="inlineStr">
        <is>
          <t>Line est $</t>
        </is>
      </c>
      <c r="I4" s="3" t="inlineStr">
        <is>
          <t>Link</t>
        </is>
      </c>
      <c r="J4" s="3" t="inlineStr">
        <is>
          <t>Notes</t>
        </is>
      </c>
    </row>
    <row r="5">
      <c r="A5" s="4" t="inlineStr">
        <is>
          <t>BOARD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Controller</t>
        </is>
      </c>
      <c r="B6" s="6" t="inlineStr">
        <is>
          <t>U1–U4</t>
        </is>
      </c>
      <c r="C6" s="7" t="inlineStr">
        <is>
          <t>Adafruit FT232H Breakout (USB-C)</t>
        </is>
      </c>
      <c r="D6" s="6" t="n">
        <v>4</v>
      </c>
      <c r="E6" s="6" t="inlineStr">
        <is>
          <t>each</t>
        </is>
      </c>
      <c r="F6" s="6" t="inlineStr">
        <is>
          <t>Adafruit #2264</t>
        </is>
      </c>
      <c r="G6" s="8" t="n">
        <v>14.95</v>
      </c>
      <c r="H6" s="8" t="n">
        <v>59.8</v>
      </c>
      <c r="I6" s="9" t="inlineStr">
        <is>
          <t>link</t>
        </is>
      </c>
      <c r="J6" s="7" t="inlineStr">
        <is>
          <t>one per board; also Amazon/DigiKey/Mouser</t>
        </is>
      </c>
    </row>
    <row r="7">
      <c r="A7" s="10" t="inlineStr">
        <is>
          <t>Drivers</t>
        </is>
      </c>
      <c r="B7" s="10" t="inlineStr">
        <is>
          <t>Q1–Q6, Q9–Q18</t>
        </is>
      </c>
      <c r="C7" s="11" t="inlineStr">
        <is>
          <t>PN2222A NPN transistor TO-92</t>
        </is>
      </c>
      <c r="D7" s="10" t="n">
        <v>16</v>
      </c>
      <c r="E7" s="10" t="inlineStr">
        <is>
          <t>50-pack</t>
        </is>
      </c>
      <c r="F7" s="10" t="inlineStr">
        <is>
          <t>Amazon B07GPPLQYF</t>
        </is>
      </c>
      <c r="G7" s="12" t="n">
        <v>7.49</v>
      </c>
      <c r="H7" s="12" t="n">
        <v>7.49</v>
      </c>
      <c r="I7" s="13" t="inlineStr">
        <is>
          <t>link</t>
        </is>
      </c>
      <c r="J7" s="11" t="inlineStr">
        <is>
          <t>lamp/reel drivers</t>
        </is>
      </c>
    </row>
    <row r="8">
      <c r="A8" s="6" t="inlineStr">
        <is>
          <t>Drivers</t>
        </is>
      </c>
      <c r="B8" s="6" t="inlineStr">
        <is>
          <t>Q7, Q8</t>
        </is>
      </c>
      <c r="C8" s="7" t="inlineStr">
        <is>
          <t>TIP120 Darlington TO-220</t>
        </is>
      </c>
      <c r="D8" s="6" t="n">
        <v>2</v>
      </c>
      <c r="E8" s="6" t="inlineStr">
        <is>
          <t>7-pack</t>
        </is>
      </c>
      <c r="F8" s="6" t="inlineStr">
        <is>
          <t>Amazon B07F5C1FF1</t>
        </is>
      </c>
      <c r="G8" s="8" t="n">
        <v>8</v>
      </c>
      <c r="H8" s="8" t="n">
        <v>8</v>
      </c>
      <c r="I8" s="9" t="inlineStr">
        <is>
          <t>link</t>
        </is>
      </c>
      <c r="J8" s="7" t="inlineStr">
        <is>
          <t>solenoid drivers</t>
        </is>
      </c>
    </row>
    <row r="9">
      <c r="A9" s="10" t="inlineStr">
        <is>
          <t>Diodes</t>
        </is>
      </c>
      <c r="B9" s="10" t="inlineStr">
        <is>
          <t>D1, D2</t>
        </is>
      </c>
      <c r="C9" s="11" t="inlineStr">
        <is>
          <t>1N4004 rectifier DO-41</t>
        </is>
      </c>
      <c r="D9" s="10" t="n">
        <v>2</v>
      </c>
      <c r="E9" s="10" t="inlineStr">
        <is>
          <t>100-pack</t>
        </is>
      </c>
      <c r="F9" s="10" t="inlineStr">
        <is>
          <t>Amazon B0CN69DV38</t>
        </is>
      </c>
      <c r="G9" s="12" t="n">
        <v>6.49</v>
      </c>
      <c r="H9" s="12" t="n">
        <v>6.49</v>
      </c>
      <c r="I9" s="13" t="inlineStr">
        <is>
          <t>link</t>
        </is>
      </c>
      <c r="J9" s="11" t="inlineStr">
        <is>
          <t>solenoid flyback</t>
        </is>
      </c>
    </row>
    <row r="10">
      <c r="A10" s="6" t="inlineStr">
        <is>
          <t>Resistors</t>
        </is>
      </c>
      <c r="B10" s="6" t="inlineStr">
        <is>
          <t>R1–R29 + bases</t>
        </is>
      </c>
      <c r="C10" s="7" t="inlineStr">
        <is>
          <t>1/4 W resistor assortment (10k/1k/2.2k)</t>
        </is>
      </c>
      <c r="D10" s="6" t="n">
        <v>46</v>
      </c>
      <c r="E10" s="6" t="inlineStr">
        <is>
          <t>kit</t>
        </is>
      </c>
      <c r="F10" s="6" t="inlineStr">
        <is>
          <t>SparkFun COM-10969</t>
        </is>
      </c>
      <c r="G10" s="8" t="n">
        <v>7.95</v>
      </c>
      <c r="H10" s="8" t="n">
        <v>7.95</v>
      </c>
      <c r="I10" s="9" t="inlineStr">
        <is>
          <t>link</t>
        </is>
      </c>
      <c r="J10" s="7" t="inlineStr">
        <is>
          <t>28×10k pull-downs, 16×1k bases, 2×2.2k TIP120 bases (kit covers all)</t>
        </is>
      </c>
    </row>
    <row r="11">
      <c r="A11" s="10" t="inlineStr">
        <is>
          <t>Jumpers</t>
        </is>
      </c>
      <c r="B11" s="10" t="inlineStr">
        <is>
          <t>R30–R62</t>
        </is>
      </c>
      <c r="C11" s="11" t="inlineStr">
        <is>
          <t>0 Ω lamp links (bridge with wire / solder)</t>
        </is>
      </c>
      <c r="D11" s="10" t="n">
        <v>16</v>
      </c>
      <c r="E11" s="10" t="inlineStr">
        <is>
          <t>each</t>
        </is>
      </c>
      <c r="F11" s="10" t="inlineStr">
        <is>
          <t>in kit / solder</t>
        </is>
      </c>
      <c r="G11" s="12" t="n">
        <v>0</v>
      </c>
      <c r="H11" s="12" t="n">
        <v>0</v>
      </c>
      <c r="I11" s="13" t="inlineStr">
        <is>
          <t>link</t>
        </is>
      </c>
      <c r="J11" s="11" t="inlineStr">
        <is>
          <t>lamp positions — the #555 bulb self-limits, so these are 0 Ω links, not resistors</t>
        </is>
      </c>
    </row>
    <row r="12">
      <c r="A12" s="6" t="inlineStr">
        <is>
          <t>Filtering</t>
        </is>
      </c>
      <c r="B12" s="6" t="inlineStr">
        <is>
          <t>C1–C28</t>
        </is>
      </c>
      <c r="C12" s="7" t="inlineStr">
        <is>
          <t>0.1 uF (100 nF) ceramic cap, 0805 SMD</t>
        </is>
      </c>
      <c r="D12" s="6" t="n">
        <v>28</v>
      </c>
      <c r="E12" s="6" t="inlineStr">
        <is>
          <t>50-pack</t>
        </is>
      </c>
      <c r="F12" s="6" t="inlineStr">
        <is>
          <t>Amazon (100nF 0805)</t>
        </is>
      </c>
      <c r="G12" s="8" t="n">
        <v>7.49</v>
      </c>
      <c r="H12" s="8" t="n">
        <v>7.49</v>
      </c>
      <c r="I12" s="9" t="inlineStr">
        <is>
          <t>link</t>
        </is>
      </c>
      <c r="J12" s="7" t="inlineStr">
        <is>
          <t>one per switch input to GND — debounce + noise filter (~1 ms RC with the 10k pull-down); on the board's back side</t>
        </is>
      </c>
    </row>
    <row r="13">
      <c r="A13" s="10" t="inlineStr">
        <is>
          <t>Protection</t>
        </is>
      </c>
      <c r="B13" s="10" t="inlineStr">
        <is>
          <t>F1, F2</t>
        </is>
      </c>
      <c r="C13" s="11" t="inlineStr">
        <is>
          <t>Littelfuse 0218002.MXP T2A 5×20mm 250V</t>
        </is>
      </c>
      <c r="D13" s="10" t="n">
        <v>2</v>
      </c>
      <c r="E13" s="10" t="inlineStr">
        <is>
          <t>each</t>
        </is>
      </c>
      <c r="F13" s="10" t="inlineStr">
        <is>
          <t>DigiKey 777600</t>
        </is>
      </c>
      <c r="G13" s="12" t="n">
        <v>0.68</v>
      </c>
      <c r="H13" s="12" t="n">
        <v>1.36</v>
      </c>
      <c r="I13" s="13" t="inlineStr">
        <is>
          <t>link</t>
        </is>
      </c>
      <c r="J13" s="11" t="inlineStr">
        <is>
          <t>slow-blow; for the small 5V solenoids</t>
        </is>
      </c>
    </row>
    <row r="14">
      <c r="A14" s="6" t="inlineStr">
        <is>
          <t>Protection</t>
        </is>
      </c>
      <c r="B14" s="6" t="inlineStr">
        <is>
          <t>F3</t>
        </is>
      </c>
      <c r="C14" s="7" t="inlineStr">
        <is>
          <t>Bussmann GDC-3.5A T3.5A 5×20mm 250V</t>
        </is>
      </c>
      <c r="D14" s="6" t="n">
        <v>1</v>
      </c>
      <c r="E14" s="6" t="inlineStr">
        <is>
          <t>each</t>
        </is>
      </c>
      <c r="F14" s="6" t="inlineStr">
        <is>
          <t>DigiKey/Mouser</t>
        </is>
      </c>
      <c r="G14" s="8" t="n">
        <v>1.1</v>
      </c>
      <c r="H14" s="8" t="n">
        <v>1.1</v>
      </c>
      <c r="I14" s="9" t="inlineStr">
        <is>
          <t>link</t>
        </is>
      </c>
      <c r="J14" s="7" t="inlineStr">
        <is>
          <t>inline fuse on the BOARD branch (5V to J3: lamps + coils, ~2.7A worst). The strip is a separate fused branch (F4) off the same 5V brick - never through J3.</t>
        </is>
      </c>
    </row>
    <row r="15">
      <c r="A15" s="10" t="inlineStr">
        <is>
          <t>Protection</t>
        </is>
      </c>
      <c r="B15" s="10" t="inlineStr">
        <is>
          <t>F4</t>
        </is>
      </c>
      <c r="C15" s="11" t="inlineStr">
        <is>
          <t>Bussmann GDC-5A T5A 5×20mm 250V</t>
        </is>
      </c>
      <c r="D15" s="10" t="n">
        <v>1</v>
      </c>
      <c r="E15" s="10" t="inlineStr">
        <is>
          <t>each</t>
        </is>
      </c>
      <c r="F15" s="10" t="inlineStr">
        <is>
          <t>DigiKey/Mouser</t>
        </is>
      </c>
      <c r="G15" s="12" t="n">
        <v>1.1</v>
      </c>
      <c r="H15" s="12" t="n">
        <v>1.1</v>
      </c>
      <c r="I15" s="13" t="inlineStr">
        <is>
          <t>link</t>
        </is>
      </c>
      <c r="J15" s="11" t="inlineStr">
        <is>
          <t>inline fuse on the LED strip's branch off the shared 5V brick. Strip is firmware brightness-capped (~40%, MaxBrightness) so 150px stays under ~3.6A; T5A rides that with headroom.</t>
        </is>
      </c>
    </row>
    <row r="16">
      <c r="A16" s="6" t="inlineStr">
        <is>
          <t>Protection</t>
        </is>
      </c>
      <c r="B16" s="6" t="inlineStr">
        <is>
          <t>F1, F2 holders</t>
        </is>
      </c>
      <c r="C16" s="7" t="inlineStr">
        <is>
          <t>Keystone 3517 fuse clip 5×20mm</t>
        </is>
      </c>
      <c r="D16" s="6" t="n">
        <v>4</v>
      </c>
      <c r="E16" s="6" t="inlineStr">
        <is>
          <t>each</t>
        </is>
      </c>
      <c r="F16" s="6" t="inlineStr">
        <is>
          <t>DigiKey 316010</t>
        </is>
      </c>
      <c r="G16" s="8" t="n">
        <v>0.3</v>
      </c>
      <c r="H16" s="8" t="n">
        <v>1.2</v>
      </c>
      <c r="I16" s="9" t="inlineStr">
        <is>
          <t>link</t>
        </is>
      </c>
      <c r="J16" s="7" t="inlineStr">
        <is>
          <t>2 clips per fuse (F1/F2)</t>
        </is>
      </c>
    </row>
    <row r="17">
      <c r="A17" s="10" t="inlineStr">
        <is>
          <t>Protection</t>
        </is>
      </c>
      <c r="B17" s="10" t="inlineStr">
        <is>
          <t>F3/F4 holders</t>
        </is>
      </c>
      <c r="C17" s="11" t="inlineStr">
        <is>
          <t>uxcell inline screw-type 5×20mm fuse holder, 18 AWG leads</t>
        </is>
      </c>
      <c r="D17" s="10" t="n">
        <v>1</v>
      </c>
      <c r="E17" s="10" t="inlineStr">
        <is>
          <t>5-pack</t>
        </is>
      </c>
      <c r="F17" s="10" t="inlineStr">
        <is>
          <t>Amazon B07SM5KYZ7</t>
        </is>
      </c>
      <c r="G17" s="12" t="n">
        <v>6.99</v>
      </c>
      <c r="H17" s="12" t="n">
        <v>6.99</v>
      </c>
      <c r="I17" s="13" t="inlineStr">
        <is>
          <t>link</t>
        </is>
      </c>
      <c r="J17" s="11" t="inlineStr">
        <is>
          <t>one for F3 (board branch), one for F4 (strip branch); the 5-pack covers both with spares. 18 AWG handles either branch.</t>
        </is>
      </c>
    </row>
    <row r="18">
      <c r="A18" s="6" t="inlineStr">
        <is>
          <t>Protection</t>
        </is>
      </c>
      <c r="B18" s="6" t="inlineStr">
        <is>
          <t>5V split</t>
        </is>
      </c>
      <c r="C18" s="7" t="inlineStr">
        <is>
          <t>2-way terminal block / Wago 221 lever nuts</t>
        </is>
      </c>
      <c r="D18" s="6" t="n">
        <v>1</v>
      </c>
      <c r="E18" s="6" t="inlineStr">
        <is>
          <t>pack</t>
        </is>
      </c>
      <c r="F18" s="6" t="inlineStr">
        <is>
          <t>Amazon B0B3SVL3WK</t>
        </is>
      </c>
      <c r="G18" s="8" t="n">
        <v>8.99</v>
      </c>
      <c r="H18" s="8" t="n">
        <v>8.99</v>
      </c>
      <c r="I18" s="9" t="inlineStr">
        <is>
          <t>link</t>
        </is>
      </c>
      <c r="J18" s="7" t="inlineStr">
        <is>
          <t>splits the single 5V brick into the F3 (board) and F4 (strip) branches; commons the grounds too</t>
        </is>
      </c>
    </row>
    <row r="19">
      <c r="A19" s="10" t="inlineStr">
        <is>
          <t>Connectors</t>
        </is>
      </c>
      <c r="B19" s="10" t="inlineStr">
        <is>
          <t>J2</t>
        </is>
      </c>
      <c r="C19" s="11" t="inlineStr">
        <is>
          <t>2×20 (40-pin) 2.54mm header</t>
        </is>
      </c>
      <c r="D19" s="10" t="n">
        <v>1</v>
      </c>
      <c r="E19" s="10" t="inlineStr">
        <is>
          <t>each</t>
        </is>
      </c>
      <c r="F19" s="10" t="inlineStr">
        <is>
          <t>generic</t>
        </is>
      </c>
      <c r="G19" s="12" t="n">
        <v>1</v>
      </c>
      <c r="H19" s="12" t="n">
        <v>1</v>
      </c>
      <c r="I19" s="13" t="inlineStr">
        <is>
          <t>link</t>
        </is>
      </c>
      <c r="J19" s="11" t="inlineStr">
        <is>
          <t>lamp/output connector</t>
        </is>
      </c>
    </row>
    <row r="20">
      <c r="A20" s="6" t="inlineStr">
        <is>
          <t>Connectors</t>
        </is>
      </c>
      <c r="B20" s="6" t="inlineStr">
        <is>
          <t>J1,J3,J4,J5</t>
        </is>
      </c>
      <c r="C20" s="7" t="inlineStr">
        <is>
          <t>2-pin 2.54mm header</t>
        </is>
      </c>
      <c r="D20" s="6" t="n">
        <v>4</v>
      </c>
      <c r="E20" s="6" t="inlineStr">
        <is>
          <t>kit</t>
        </is>
      </c>
      <c r="F20" s="6" t="inlineStr">
        <is>
          <t>generic</t>
        </is>
      </c>
      <c r="G20" s="8" t="n">
        <v>3</v>
      </c>
      <c r="H20" s="8" t="n">
        <v>3</v>
      </c>
      <c r="I20" s="9" t="inlineStr">
        <is>
          <t>link</t>
        </is>
      </c>
      <c r="J20" s="7" t="inlineStr">
        <is>
          <t>power in + solenoid out</t>
        </is>
      </c>
    </row>
    <row r="21">
      <c r="A21" s="10" t="inlineStr">
        <is>
          <t>Playfield</t>
        </is>
      </c>
      <c r="B21" s="10" t="inlineStr">
        <is>
          <t>Score / gobble switches</t>
        </is>
      </c>
      <c r="C21" s="11" t="inlineStr">
        <is>
          <t>Arcade COIN SWITCH, 85mm straight wire actuator (SPDT)</t>
        </is>
      </c>
      <c r="D21" s="10" t="n">
        <v>34</v>
      </c>
      <c r="E21" s="10" t="inlineStr">
        <is>
          <t>each</t>
        </is>
      </c>
      <c r="F21" s="10" t="inlineStr">
        <is>
          <t>DIY Retro Arcade / eBay</t>
        </is>
      </c>
      <c r="G21" s="12" t="n">
        <v>3.99</v>
      </c>
      <c r="H21" s="12" t="n">
        <v>135.66</v>
      </c>
      <c r="I21" s="13" t="inlineStr">
        <is>
          <t>link</t>
        </is>
      </c>
      <c r="J21" s="11" t="inlineStr">
        <is>
          <t>the long wire pokes up through a playfield slot; the rolling coin trips it (the 85mm wire = tiny actuation force, made for coins). Mounts hidden UNDER the playfield. Wires like any SPDT switch (use COM + NO). 28 inputs; the 7 gobble switches parallel onto S23. ~$2 ea in 10-packs on eBay/AliExpress.</t>
        </is>
      </c>
    </row>
    <row r="22">
      <c r="A22" s="6" t="inlineStr">
        <is>
          <t>Lighting</t>
        </is>
      </c>
      <c r="B22" s="6" t="inlineStr">
        <is>
          <t>LED strip</t>
        </is>
      </c>
      <c r="C22" s="7" t="inlineStr">
        <is>
          <t>WS2812b 150-pixel 5V strip</t>
        </is>
      </c>
      <c r="D22" s="6" t="n">
        <v>1</v>
      </c>
      <c r="E22" s="6" t="inlineStr">
        <is>
          <t>each</t>
        </is>
      </c>
      <c r="F22" s="6" t="inlineStr">
        <is>
          <t>Amazon B0CFTPT81S</t>
        </is>
      </c>
      <c r="G22" s="8" t="n">
        <v>12.99</v>
      </c>
      <c r="H22" s="8" t="n">
        <v>12.99</v>
      </c>
      <c r="I22" s="9" t="inlineStr">
        <is>
          <t>link</t>
        </is>
      </c>
      <c r="J22" s="7" t="inlineStr">
        <is>
          <t>150 addressable px</t>
        </is>
      </c>
    </row>
    <row r="23">
      <c r="A23" s="10" t="inlineStr">
        <is>
          <t>Lighting</t>
        </is>
      </c>
      <c r="B23" s="10" t="inlineStr">
        <is>
          <t>Score lamps</t>
        </is>
      </c>
      <c r="C23" s="11" t="inlineStr">
        <is>
          <t>#555 T10 wedge LED, 6.3V non-polar (frosted)</t>
        </is>
      </c>
      <c r="D23" s="10" t="n">
        <v>20</v>
      </c>
      <c r="E23" s="10" t="inlineStr">
        <is>
          <t>25-pack</t>
        </is>
      </c>
      <c r="F23" s="10" t="inlineStr">
        <is>
          <t>Amazon (Keiurot)</t>
        </is>
      </c>
      <c r="G23" s="12" t="n">
        <v>18</v>
      </c>
      <c r="H23" s="12" t="n">
        <v>18</v>
      </c>
      <c r="I23" s="13" t="inlineStr">
        <is>
          <t>link</t>
        </is>
      </c>
      <c r="J23" s="11" t="inlineStr">
        <is>
          <t>16 lamps + a 2nd bulb on 100/200/300/400 (double bright) = 20; non-polar &amp; pre-resistored, runs safely under-driven on the 5V rail (board R = 0 ohm links)</t>
        </is>
      </c>
    </row>
    <row r="24">
      <c r="A24" s="6" t="inlineStr">
        <is>
          <t>Lighting</t>
        </is>
      </c>
      <c r="B24" s="6" t="inlineStr">
        <is>
          <t>Lamp sockets</t>
        </is>
      </c>
      <c r="C24" s="7" t="inlineStr">
        <is>
          <t>T10/#555 wedge socket, pigtail leads</t>
        </is>
      </c>
      <c r="D24" s="6" t="n">
        <v>20</v>
      </c>
      <c r="E24" s="6" t="inlineStr">
        <is>
          <t>25-pack</t>
        </is>
      </c>
      <c r="F24" s="6" t="inlineStr">
        <is>
          <t>Amazon B00VDOPPDE</t>
        </is>
      </c>
      <c r="G24" s="8" t="n">
        <v>11.99</v>
      </c>
      <c r="H24" s="8" t="n">
        <v>11.99</v>
      </c>
      <c r="I24" s="9" t="inlineStr">
        <is>
          <t>link</t>
        </is>
      </c>
      <c r="J24" s="7" t="inlineStr">
        <is>
          <t>one per bulb; solder its leads to the J2 lamp lines</t>
        </is>
      </c>
    </row>
    <row r="25">
      <c r="A25" s="10" t="inlineStr">
        <is>
          <t>Actuators</t>
        </is>
      </c>
      <c r="B25" s="10" t="inlineStr">
        <is>
          <t>Coin-Lock, Win-Lock</t>
        </is>
      </c>
      <c r="C25" s="11" t="inlineStr">
        <is>
          <t>SparkFun Solenoid - 5V (Small), ROB-11015</t>
        </is>
      </c>
      <c r="D25" s="10" t="n">
        <v>2</v>
      </c>
      <c r="E25" s="10" t="inlineStr">
        <is>
          <t>each</t>
        </is>
      </c>
      <c r="F25" s="10" t="inlineStr">
        <is>
          <t>SparkFun ROB-11015</t>
        </is>
      </c>
      <c r="G25" s="12" t="n">
        <v>6.5</v>
      </c>
      <c r="H25" s="12" t="n">
        <v>13</v>
      </c>
      <c r="I25" s="13" t="inlineStr">
        <is>
          <t>link</t>
        </is>
      </c>
      <c r="J25" s="11" t="inlineStr">
        <is>
          <t>5 V, 1.1 A, 4.5 ohm, ~5.5 W. SPRING-RETURN push-pull: plunger sits OUT at rest (blocks a coin, zero power) and retracts when energized (drops it). INTERMITTENT duty (25%) - the firmware PULSES it, never holds. T2A fuse each (F1/F2). Same part as Adafruit 2776.</t>
        </is>
      </c>
    </row>
    <row r="26">
      <c r="A26" s="4" t="inlineStr">
        <is>
          <t>SYSTEM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10" t="inlineStr">
        <is>
          <t>Computer</t>
        </is>
      </c>
      <c r="B27" s="10" t="inlineStr">
        <is>
          <t>mini-PC</t>
        </is>
      </c>
      <c r="C27" s="11" t="inlineStr">
        <is>
          <t>PELADN Ryzen 5 5600H, 16GB DDR4 / 512GB SSD</t>
        </is>
      </c>
      <c r="D27" s="10" t="n">
        <v>1</v>
      </c>
      <c r="E27" s="10" t="inlineStr">
        <is>
          <t>each</t>
        </is>
      </c>
      <c r="F27" s="10" t="inlineStr">
        <is>
          <t>Amazon B0F7R7V9VK</t>
        </is>
      </c>
      <c r="G27" s="12" t="n">
        <v>209.99</v>
      </c>
      <c r="H27" s="12" t="n">
        <v>209.99</v>
      </c>
      <c r="I27" s="13" t="inlineStr">
        <is>
          <t>link</t>
        </is>
      </c>
      <c r="J27" s="11" t="inlineStr">
        <is>
          <t>6C/12T Ryzen, Vega gfx, WiFi6, USB3.2 — plenty of headroom</t>
        </is>
      </c>
    </row>
    <row r="28">
      <c r="A28" s="6" t="inlineStr">
        <is>
          <t>Display</t>
        </is>
      </c>
      <c r="B28" s="6" t="inlineStr">
        <is>
          <t>monitor</t>
        </is>
      </c>
      <c r="C28" s="7" t="inlineStr">
        <is>
          <t>QQU 15.6" portable touchscreen (with stand)</t>
        </is>
      </c>
      <c r="D28" s="6" t="n">
        <v>1</v>
      </c>
      <c r="E28" s="6" t="inlineStr">
        <is>
          <t>each</t>
        </is>
      </c>
      <c r="F28" s="6" t="inlineStr">
        <is>
          <t>Amazon B0FHHM1Y7Z</t>
        </is>
      </c>
      <c r="G28" s="8" t="n">
        <v>70.48999999999999</v>
      </c>
      <c r="H28" s="8" t="n">
        <v>70.48999999999999</v>
      </c>
      <c r="I28" s="9" t="inlineStr">
        <is>
          <t>link</t>
        </is>
      </c>
      <c r="J28" s="7" t="inlineStr">
        <is>
          <t>1080P IPS/HDR; USB-C touch + HDMI; incl. stand</t>
        </is>
      </c>
    </row>
    <row r="29">
      <c r="A29" s="10" t="inlineStr">
        <is>
          <t>USB</t>
        </is>
      </c>
      <c r="B29" s="10" t="inlineStr">
        <is>
          <t>hub</t>
        </is>
      </c>
      <c r="C29" s="11" t="inlineStr">
        <is>
          <t>4-port USB 2.0 hub</t>
        </is>
      </c>
      <c r="D29" s="10" t="n">
        <v>1</v>
      </c>
      <c r="E29" s="10" t="inlineStr">
        <is>
          <t>each</t>
        </is>
      </c>
      <c r="F29" s="10" t="inlineStr">
        <is>
          <t>Amazon/Monoprice</t>
        </is>
      </c>
      <c r="G29" s="12" t="n">
        <v>8.99</v>
      </c>
      <c r="H29" s="12" t="n">
        <v>8.99</v>
      </c>
      <c r="I29" s="13" t="inlineStr">
        <is>
          <t>link</t>
        </is>
      </c>
      <c r="J29" s="11" t="inlineStr">
        <is>
          <t>one port per FT232H</t>
        </is>
      </c>
    </row>
    <row r="30">
      <c r="A30" s="6" t="inlineStr">
        <is>
          <t>Power</t>
        </is>
      </c>
      <c r="B30" s="6" t="inlineStr">
        <is>
          <t>J1 supply</t>
        </is>
      </c>
      <c r="C30" s="7" t="inlineStr">
        <is>
          <t>3.3 V DC wall adapter (≥1A)</t>
        </is>
      </c>
      <c r="D30" s="6" t="n">
        <v>1</v>
      </c>
      <c r="E30" s="6" t="inlineStr">
        <is>
          <t>each</t>
        </is>
      </c>
      <c r="F30" s="6" t="inlineStr">
        <is>
          <t>Amazon B07BGW2VXV</t>
        </is>
      </c>
      <c r="G30" s="8" t="n">
        <v>7.99</v>
      </c>
      <c r="H30" s="8" t="n">
        <v>7.99</v>
      </c>
      <c r="I30" s="9" t="inlineStr">
        <is>
          <t>link</t>
        </is>
      </c>
      <c r="J30" s="7" t="inlineStr">
        <is>
          <t>switch-common / GPIO logic</t>
        </is>
      </c>
    </row>
    <row r="31">
      <c r="A31" s="10" t="inlineStr">
        <is>
          <t>Power</t>
        </is>
      </c>
      <c r="B31" s="10" t="inlineStr">
        <is>
          <t>5V supply</t>
        </is>
      </c>
      <c r="C31" s="11" t="inlineStr">
        <is>
          <t>BTF-LIGHTING 5V 10A 50W (ETL/Class 2)</t>
        </is>
      </c>
      <c r="D31" s="10" t="n">
        <v>1</v>
      </c>
      <c r="E31" s="10" t="inlineStr">
        <is>
          <t>each</t>
        </is>
      </c>
      <c r="F31" s="10" t="inlineStr">
        <is>
          <t>Amazon B0G4KXT4BL</t>
        </is>
      </c>
      <c r="G31" s="12" t="n">
        <v>27.99</v>
      </c>
      <c r="H31" s="12" t="n">
        <v>27.99</v>
      </c>
      <c r="I31" s="13" t="inlineStr">
        <is>
          <t>link</t>
        </is>
      </c>
      <c r="J31" s="11" t="inlineStr">
        <is>
          <t>ONE 5V brick for the whole 5V system. Split at the terminal block: F3 branch to J3 (board: lamps + coils ~2.7A) + F4 branch to the strip (~3.6A capped) = ~6.3A worst, so 10A leaves headroom. ETL-listed / Class 2 - safe for a mains-plugged cabinet. Barrel output: cut the plug or use a barrel-to-screw pigtail into the split.</t>
        </is>
      </c>
    </row>
    <row r="33">
      <c r="G33" s="14" t="inlineStr">
        <is>
          <t>ESTIMATED TOTAL</t>
        </is>
      </c>
      <c r="H33" s="15">
        <f>SUM(H5:H31)</f>
        <v/>
      </c>
    </row>
    <row r="34">
      <c r="C34" s="16" t="inlineStr">
        <is>
          <t>Line est already accounts for quantity (e.g. 4× FT232H). Pack/kit rows are a single purchase that covers the qty.</t>
        </is>
      </c>
    </row>
  </sheetData>
  <mergeCells count="4">
    <mergeCell ref="A1:J1"/>
    <mergeCell ref="A5:J5"/>
    <mergeCell ref="A26:J26"/>
    <mergeCell ref="A2:J2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1" r:id="rId16"/>
    <hyperlink xmlns:r="http://schemas.openxmlformats.org/officeDocument/2006/relationships" ref="I22" r:id="rId17"/>
    <hyperlink xmlns:r="http://schemas.openxmlformats.org/officeDocument/2006/relationships" ref="I23" r:id="rId18"/>
    <hyperlink xmlns:r="http://schemas.openxmlformats.org/officeDocument/2006/relationships" ref="I24" r:id="rId19"/>
    <hyperlink xmlns:r="http://schemas.openxmlformats.org/officeDocument/2006/relationships" ref="I25" r:id="rId20"/>
    <hyperlink xmlns:r="http://schemas.openxmlformats.org/officeDocument/2006/relationships" ref="I27" r:id="rId21"/>
    <hyperlink xmlns:r="http://schemas.openxmlformats.org/officeDocument/2006/relationships" ref="I28" r:id="rId22"/>
    <hyperlink xmlns:r="http://schemas.openxmlformats.org/officeDocument/2006/relationships" ref="I29" r:id="rId23"/>
    <hyperlink xmlns:r="http://schemas.openxmlformats.org/officeDocument/2006/relationships" ref="I30" r:id="rId24"/>
    <hyperlink xmlns:r="http://schemas.openxmlformats.org/officeDocument/2006/relationships" ref="I31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2026-09-12T17:56:58Z</dcterms:created>
  <dcterms:modified xmlns:dcterms="http://purl.org/dc/terms/" xmlns:xsi="http://www.w3.org/2001/XMLSchema-instance" xsi:type="dcterms:W3CDTF">2026-09-12T17:56:58Z</dcterms:modified>
</cp:coreProperties>
</file>